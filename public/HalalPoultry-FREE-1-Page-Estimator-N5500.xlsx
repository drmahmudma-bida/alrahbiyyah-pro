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REE ESTIMAT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<sst xmlns="http://schemas.openxmlformats.org/spreadsheetml/2006/main" count="27" uniqueCount="27">
  <si>
    <t xml:space="preserve">HALALPOULTRY PRO v2.0 - FREE 1-PAGE ESTIMATOR</t>
  </si>
  <si>
    <t xml:space="preserve">Comment HALAL on Reel - Full Premium N5,500 ONLY (N15,000 → N5,500 63% OFF) - selar.com/8f8736b9z1 - Ends Sept 7, 2026</t>
  </si>
  <si>
    <t xml:space="preserve">Dr. Mahmud from Bida - Veterinary Doctor Mentor - WhatsApp: +234 8110350355 | 5 Languages + Zakat + Salah App in Premium</t>
  </si>
  <si>
    <t xml:space="preserve">INPUTS - Yellow cells only (Type your numbers)</t>
  </si>
  <si>
    <t xml:space="preserve">RESULTS - Auto Calculated</t>
  </si>
  <si>
    <t xml:space="preserve">Number of Birds (e.g. 100)</t>
  </si>
  <si>
    <t xml:space="preserve">Surviving Birds</t>
  </si>
  <si>
    <t xml:space="preserve">DOC Cost per Bird (N)</t>
  </si>
  <si>
    <t xml:space="preserve">Total DOC Cost</t>
  </si>
  <si>
    <t xml:space="preserve">Total Feed Cost (N) - Starter + Finisher</t>
  </si>
  <si>
    <t xml:space="preserve">TOTAL COST (All)</t>
  </si>
  <si>
    <t xml:space="preserve">Drugs, Vaccines, Vitamins (N)</t>
  </si>
  <si>
    <t xml:space="preserve">Total Revenue</t>
  </si>
  <si>
    <t xml:space="preserve">Labour + Transport + Others (N)</t>
  </si>
  <si>
    <t xml:space="preserve">NET PROFIT (N)</t>
  </si>
  <si>
    <t xml:space="preserve">Expected Sale Price per Bird (N)</t>
  </si>
  <si>
    <t xml:space="preserve">Profit per Bird (N)</t>
  </si>
  <si>
    <t xml:space="preserve">Mortality % (e.g. 5 for 5%)</t>
  </si>
  <si>
    <t xml:space="preserve">ROI %</t>
  </si>
  <si>
    <t xml:space="preserve">Break-even Price per Bird (N)</t>
  </si>
  <si>
    <t xml:space="preserve">HOW TO USE (3 Steps):</t>
  </si>
  <si>
    <t xml:space="preserve">1. Type your numbers in YELLOW cells only (C7-C13)</t>
  </si>
  <si>
    <t xml:space="preserve">2. See instant profit, ROI, break-even in GREEN</t>
  </si>
  <si>
    <t xml:space="preserve">3. If profit &lt;0, you will LOSE - recalculate!</t>
  </si>
  <si>
    <t xml:space="preserve">Full v2.0 Premium has: 5 Languages + Dashboard + Charts + Zakat (Silver N1.8M / Gold N10.5M) + Checklist + Manual + Salah App</t>
  </si>
  <si>
    <t xml:space="preserve">🔥 UPGRADE TO PREMIUM v2.0 - N5,500 ONLY (N15,000 → N5,500 63% OFF) - Launch ends Sept 7, 2026 - selar.com/8f8736b9z1</t>
  </si>
  <si>
    <t xml:space="preserve">First 50 buyers get FREE WhatsApp setup support + Salah Reminder Premium App (Adhan + Qibla offline) - WhatsApp: +234 8110350355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</si>
</sst>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\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D4AF37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0A4D2E"/>
      <name val="Arial"/>
      <family val="0"/>
      <charset val="1"/>
    </font>
    <font>
      <b val="true"/>
      <sz val="11"/>
      <color rgb="FF0A4D2E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4"/>
      <color rgb="FF0A4D2E"/>
      <name val="Cambria"/>
      <family val="0"/>
      <charset val="1"/>
    </font>
    <font>
      <b val="true"/>
      <sz val="9.5"/>
      <color rgb="FFFFFFFF"/>
      <name val="Cambria"/>
      <family val="0"/>
      <charset val="1"/>
    </font>
    <font>
      <b val="true"/>
      <sz val="10"/>
      <color rgb="FF0A4D2E"/>
      <name val="Cambria"/>
      <family val="0"/>
      <charset val="1"/>
    </font>
    <font>
      <sz val="9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8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A4D2E"/>
        <bgColor rgb="FF003366"/>
      </patternFill>
    </fill>
    <fill>
      <patternFill patternType="solid">
        <fgColor rgb="FF000000"/>
        <bgColor rgb="FF000080"/>
      </patternFill>
    </fill>
    <fill>
      <patternFill patternType="solid">
        <fgColor rgb="FFF5E6A2"/>
        <bgColor rgb="FFFFFF99"/>
      </patternFill>
    </fill>
    <fill>
      <patternFill patternType="solid">
        <fgColor rgb="FFFFFF99"/>
        <bgColor rgb="FFF5E6A2"/>
      </patternFill>
    </fill>
    <fill>
      <patternFill patternType="solid">
        <fgColor rgb="FFE8F5E9"/>
        <bgColor rgb="FFFFFFFF"/>
      </patternFill>
    </fill>
    <fill>
      <patternFill patternType="solid">
        <fgColor rgb="FFD4AF37"/>
        <bgColor rgb="FFFFCC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5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F5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5E6A2"/>
      <rgbColor rgb="FF3366FF"/>
      <rgbColor rgb="FF33CCCC"/>
      <rgbColor rgb="FF99CC00"/>
      <rgbColor rgb="FFFFCC00"/>
      <rgbColor rgb="FFD4AF37"/>
      <rgbColor rgb="FFFF6600"/>
      <rgbColor rgb="FF666699"/>
      <rgbColor rgb="FF969696"/>
      <rgbColor rgb="FF003366"/>
      <rgbColor rgb="FF339966"/>
      <rgbColor rgb="FF0A4D2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20"/>
    <col collapsed="false" customWidth="true" hidden="false" outlineLevel="0" max="4" min="4" style="1" width="28"/>
    <col collapsed="false" customWidth="true" hidden="false" outlineLevel="0" max="5" min="5" style="1" width="20"/>
  </cols>
  <sheetData>
    <row r="2" customFormat="false" ht="34.5" hidden="false" customHeight="true" outlineLevel="0" collapsed="false">
      <c r="B2" s="2" t="s">
        <v>0</v>
      </c>
      <c r="C2" s="2"/>
      <c r="D2" s="2"/>
      <c r="E2" s="2"/>
    </row>
    <row r="3" customFormat="false" ht="15" hidden="false" customHeight="true" outlineLevel="0" collapsed="false">
      <c r="B3" s="3" t="s">
        <v>1</v>
      </c>
      <c r="C3" s="3"/>
      <c r="D3" s="3"/>
      <c r="E3" s="3"/>
    </row>
    <row r="4" customFormat="false" ht="15" hidden="false" customHeight="true" outlineLevel="0" collapsed="false">
      <c r="B4" s="4" t="s">
        <v>2</v>
      </c>
      <c r="C4" s="4"/>
      <c r="D4" s="4"/>
      <c r="E4" s="4"/>
    </row>
    <row r="6" customFormat="false" ht="15" hidden="false" customHeight="true" outlineLevel="0" collapsed="false">
      <c r="B6" s="5" t="s">
        <v>3</v>
      </c>
      <c r="C6" s="5"/>
      <c r="D6" s="6" t="s">
        <v>4</v>
      </c>
      <c r="E6" s="6"/>
    </row>
    <row r="7" customFormat="false" ht="15" hidden="false" customHeight="true" outlineLevel="0" collapsed="false">
      <c r="B7" s="7" t="s">
        <v>5</v>
      </c>
      <c r="C7" s="8" t="n">
        <v>100</v>
      </c>
      <c r="D7" s="9" t="s">
        <v>6</v>
      </c>
      <c r="E7" s="10" t="n">
        <f aca="false">C7*(1-C13/100)</f>
        <v>95</v>
      </c>
    </row>
    <row r="8" customFormat="false" ht="15" hidden="false" customHeight="true" outlineLevel="0" collapsed="false">
      <c r="B8" s="7" t="s">
        <v>7</v>
      </c>
      <c r="C8" s="8" t="n">
        <v>800</v>
      </c>
      <c r="D8" s="9" t="s">
        <v>8</v>
      </c>
      <c r="E8" s="10" t="n">
        <f aca="false">C7*C8</f>
        <v>80000</v>
      </c>
    </row>
    <row r="9" customFormat="false" ht="15" hidden="false" customHeight="true" outlineLevel="0" collapsed="false">
      <c r="B9" s="7" t="s">
        <v>9</v>
      </c>
      <c r="C9" s="8" t="n">
        <v>250000</v>
      </c>
      <c r="D9" s="9" t="s">
        <v>10</v>
      </c>
      <c r="E9" s="10" t="n">
        <f aca="false">E8+C9+C10+C11</f>
        <v>365000</v>
      </c>
    </row>
    <row r="10" customFormat="false" ht="15" hidden="false" customHeight="true" outlineLevel="0" collapsed="false">
      <c r="B10" s="7" t="s">
        <v>11</v>
      </c>
      <c r="C10" s="8" t="n">
        <v>15000</v>
      </c>
      <c r="D10" s="9" t="s">
        <v>12</v>
      </c>
      <c r="E10" s="10" t="n">
        <f aca="false">E7*C12</f>
        <v>475000</v>
      </c>
    </row>
    <row r="11" customFormat="false" ht="17.25" hidden="false" customHeight="true" outlineLevel="0" collapsed="false">
      <c r="B11" s="7" t="s">
        <v>13</v>
      </c>
      <c r="C11" s="8" t="n">
        <v>20000</v>
      </c>
      <c r="D11" s="11" t="s">
        <v>14</v>
      </c>
      <c r="E11" s="12" t="n">
        <f aca="false">E10-E9</f>
        <v>110000</v>
      </c>
    </row>
    <row r="12" customFormat="false" ht="15" hidden="false" customHeight="true" outlineLevel="0" collapsed="false">
      <c r="B12" s="7" t="s">
        <v>15</v>
      </c>
      <c r="C12" s="8" t="n">
        <v>5000</v>
      </c>
      <c r="D12" s="9" t="s">
        <v>16</v>
      </c>
      <c r="E12" s="10" t="n">
        <f aca="false">IF(E7&gt;0,E11/E7,0)</f>
        <v>1157.89473684211</v>
      </c>
    </row>
    <row r="13" customFormat="false" ht="15" hidden="false" customHeight="true" outlineLevel="0" collapsed="false">
      <c r="B13" s="7" t="s">
        <v>17</v>
      </c>
      <c r="C13" s="8" t="n">
        <v>5</v>
      </c>
      <c r="D13" s="9" t="s">
        <v>18</v>
      </c>
      <c r="E13" s="13" t="n">
        <f aca="false">IF(E9&gt;0,E11/E9*100,0)</f>
        <v>30.1369863013699</v>
      </c>
    </row>
    <row r="14" customFormat="false" ht="15" hidden="false" customHeight="true" outlineLevel="0" collapsed="false">
      <c r="D14" s="9" t="s">
        <v>19</v>
      </c>
      <c r="E14" s="10" t="n">
        <f aca="false">IF(E7&gt;0,E9/E7,0)</f>
        <v>3842.10526315789</v>
      </c>
    </row>
    <row r="15" customFormat="false" ht="48" hidden="false" customHeight="true" outlineLevel="0" collapsed="false">
      <c r="B15" s="14" t="str">
        <f aca="false">IF(E11&gt;=0,"✅ Your projected profit: ₦"&amp;TEXT(E11,"#,##0")&amp;" | Break-even: ₦"&amp;TEXT(E14,"#,##0")&amp;". See this in 5 languages + auto Zakat in Premium (₦5,500) → selar.com/8f8736b9z1","⚠️ At these numbers you would LOSE ₦"&amp;TEXT(-E11,"#,##0")&amp;". Premium (₦5,500) adds Zakat, checklist &amp; manual to help you find where to cut cost → selar.com/8f8736b9z1")</f>
        <v>✅ Your projected profit: ₦110,000 | Break-even: ₦3,842. See this in 5 languages + auto Zakat in Premium (₦5,500) → selar.com/8f8736b9z1</v>
      </c>
    </row>
    <row r="16" customFormat="false" ht="30" hidden="false" customHeight="true" outlineLevel="0" collapsed="false">
      <c r="B16" s="15" t="s">
        <v>20</v>
      </c>
      <c r="C16" s="15"/>
      <c r="D16" s="15"/>
      <c r="E16" s="15"/>
    </row>
    <row r="17" customFormat="false" ht="15" hidden="false" customHeight="true" outlineLevel="0" collapsed="false">
      <c r="B17" s="16" t="s">
        <v>21</v>
      </c>
      <c r="C17" s="16"/>
      <c r="D17" s="16"/>
      <c r="E17" s="16"/>
    </row>
    <row r="18" customFormat="false" ht="15" hidden="false" customHeight="true" outlineLevel="0" collapsed="false">
      <c r="B18" s="16" t="s">
        <v>22</v>
      </c>
      <c r="C18" s="16"/>
      <c r="D18" s="16"/>
      <c r="E18" s="16"/>
    </row>
    <row r="19" customFormat="false" ht="15" hidden="false" customHeight="true" outlineLevel="0" collapsed="false">
      <c r="B19" s="16" t="s">
        <v>23</v>
      </c>
      <c r="C19" s="16"/>
      <c r="D19" s="16"/>
      <c r="E19" s="16"/>
    </row>
    <row r="20" customFormat="false" ht="15" hidden="false" customHeight="true" outlineLevel="0" collapsed="false">
      <c r="B20" s="16" t="s">
        <v>24</v>
      </c>
      <c r="C20" s="16"/>
      <c r="D20" s="16"/>
      <c r="E20" s="16"/>
    </row>
    <row r="21" customFormat="false" ht="15" hidden="false" customHeight="true" outlineLevel="0" collapsed="false"/>
    <row r="22" customFormat="false" ht="30" hidden="false" customHeight="true" outlineLevel="0" collapsed="false">
      <c r="B22" s="17" t="s">
        <v>25</v>
      </c>
      <c r="C22" s="17"/>
      <c r="D22" s="17"/>
      <c r="E22" s="17"/>
    </row>
    <row r="23" customFormat="false" ht="15" hidden="false" customHeight="true" outlineLevel="0" collapsed="false">
      <c r="B23" s="18" t="s">
        <v>26</v>
      </c>
      <c r="C23" s="18"/>
      <c r="D23" s="18"/>
      <c r="E23" s="18"/>
    </row>
    <row r="24" customFormat="false" ht="15" hidden="false" customHeight="true" outlineLevel="0" collapsed="false"/>
  </sheetData>
  <sheetProtection sheet="true" formatCells="false" formatColumns="false" formatRows="false"/>
  <mergeCells count="12">
    <mergeCell ref="B2:E2"/>
    <mergeCell ref="B3:E3"/>
    <mergeCell ref="B4:E4"/>
    <mergeCell ref="B6:C6"/>
    <mergeCell ref="D6:E6"/>
    <mergeCell ref="B16:E16"/>
    <mergeCell ref="B17:E17"/>
    <mergeCell ref="B18:E18"/>
    <mergeCell ref="B19:E19"/>
    <mergeCell ref="B20:E20"/>
    <mergeCell ref="B22:E22"/>
    <mergeCell ref="B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2026-08-31T11:33:07Z</dcterms:created>
  <dc:creator>openpyxl</dc:creator>
  <dc:description/>
  <dc:language>en-US</dc:language>
  <cp:lastModifiedBy/>
  <dcterms:modified xsi:type="dcterms:W3CDTF">2026-08-31T12:03:52Z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